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360" yWindow="300" windowWidth="18735" windowHeight="11700"/>
  </bookViews>
  <sheets>
    <sheet name="Foglio1" sheetId="1" r:id="rId1"/>
    <sheet name="Foglio2" sheetId="2" r:id="rId2"/>
    <sheet name="Foglio3" sheetId="3" r:id="rId3"/>
  </sheets>
  <definedNames>
    <definedName name="a">Foglio1!$D$8</definedName>
    <definedName name="alfa_max">Foglio1!$D$10</definedName>
    <definedName name="AR">Foglio1!$D$24</definedName>
    <definedName name="bc">Foglio1!$D$21</definedName>
    <definedName name="beta">Foglio1!$D$16</definedName>
    <definedName name="Clp">Foglio1!$D$3</definedName>
    <definedName name="Cr">Foglio1!$D$11</definedName>
    <definedName name="D">Foglio1!$D$5</definedName>
    <definedName name="k">Foglio1!$D$17</definedName>
    <definedName name="lambda">Foglio1!$D$12</definedName>
    <definedName name="M">Foglio1!$D$15</definedName>
    <definedName name="p">Foglio1!$D$4</definedName>
    <definedName name="S">Foglio1!$D$6</definedName>
    <definedName name="solver_adj" localSheetId="0" hidden="1">Foglio1!$D$21,Foglio1!$D$11,Foglio1!$D$12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Foglio1!$N$30</definedName>
    <definedName name="solver_lhs2" localSheetId="0" hidden="1">Foglio1!$N$30</definedName>
    <definedName name="solver_lhs3" localSheetId="0" hidden="1">Foglio1!$N$30</definedName>
    <definedName name="solver_lhs4" localSheetId="0" hidden="1">Foglio1!$D$11</definedName>
    <definedName name="solver_lhs5" localSheetId="0" hidden="1">Foglio1!$D$11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nwt" localSheetId="0" hidden="1">1</definedName>
    <definedName name="solver_opt" localSheetId="0" hidden="1">Foglio1!$G$22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hs1" localSheetId="0" hidden="1">100</definedName>
    <definedName name="solver_rhs2" localSheetId="0" hidden="1">100</definedName>
    <definedName name="solver_rhs3" localSheetId="0" hidden="1">100</definedName>
    <definedName name="solver_rhs4" localSheetId="0" hidden="1">20</definedName>
    <definedName name="solver_rhs5" localSheetId="0" hidden="1">20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0.42</definedName>
    <definedName name="V">Foglio1!$D$7</definedName>
  </definedNames>
  <calcPr calcId="125725"/>
</workbook>
</file>

<file path=xl/calcChain.xml><?xml version="1.0" encoding="utf-8"?>
<calcChain xmlns="http://schemas.openxmlformats.org/spreadsheetml/2006/main">
  <c r="D25" i="1"/>
  <c r="D24"/>
  <c r="D26" s="1"/>
  <c r="G22"/>
  <c r="D15"/>
  <c r="D16" s="1"/>
  <c r="D17" s="1"/>
  <c r="D18" l="1"/>
</calcChain>
</file>

<file path=xl/comments1.xml><?xml version="1.0" encoding="utf-8"?>
<comments xmlns="http://schemas.openxmlformats.org/spreadsheetml/2006/main">
  <authors>
    <author>Autore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Clp dell'intero velivolo a Mach = 0</t>
        </r>
      </text>
    </comment>
    <comment ref="C4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Veloctà di rollio massima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Dimaetro della fusoliera (lunghezza di adimensionalizzazione)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Area della sezione della fusoliera (superficie di adimensionalizzazione)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Minima velocità a cui si vuole avere il controllo del razzo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Velocità del suono nelle condizioni di volo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Cl alfa dei profili a mach 0 di cui è costituito il canard</t>
        </r>
      </text>
    </comment>
    <comment ref="C11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Lunghezza alla radice dell'aletta che si vuole ottenere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Rastremazione che vogliamo abbia il canard</t>
        </r>
      </text>
    </comment>
    <comment ref="C18" author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Cl che deve realizzare il canard</t>
        </r>
      </text>
    </comment>
  </commentList>
</comments>
</file>

<file path=xl/sharedStrings.xml><?xml version="1.0" encoding="utf-8"?>
<sst xmlns="http://schemas.openxmlformats.org/spreadsheetml/2006/main" count="32" uniqueCount="27">
  <si>
    <t>p</t>
  </si>
  <si>
    <t>D</t>
  </si>
  <si>
    <t>V</t>
  </si>
  <si>
    <t>rad/s</t>
  </si>
  <si>
    <t>m</t>
  </si>
  <si>
    <t>m/s</t>
  </si>
  <si>
    <t>Cl</t>
  </si>
  <si>
    <t>Clp velivolo</t>
  </si>
  <si>
    <t>S</t>
  </si>
  <si>
    <t>m^2</t>
  </si>
  <si>
    <t>M</t>
  </si>
  <si>
    <t>a</t>
  </si>
  <si>
    <t>beta</t>
  </si>
  <si>
    <t>k</t>
  </si>
  <si>
    <t>Cl alfa</t>
  </si>
  <si>
    <t>Rastremazione voluta</t>
  </si>
  <si>
    <t>Valori derivati</t>
  </si>
  <si>
    <t>Input</t>
  </si>
  <si>
    <t>alfa massimo</t>
  </si>
  <si>
    <t>rad</t>
  </si>
  <si>
    <t>Ct</t>
  </si>
  <si>
    <t>A</t>
  </si>
  <si>
    <t>Cr voluto</t>
  </si>
  <si>
    <t>Cl da ottenere</t>
  </si>
  <si>
    <t>larghezza fin bc</t>
  </si>
  <si>
    <t>Calcolati a posteriori</t>
  </si>
  <si>
    <t>S singola fin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</si>
</sst>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000"/>
    <numFmt numFmtId="166" formatCode="0.00000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  <xf numFmtId="2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1" xfId="0" applyBorder="1"/>
    <xf numFmtId="0" fontId="1" fillId="0" borderId="2" xfId="0" applyFont="1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8" xfId="0" applyBorder="1"/>
    <xf numFmtId="165" fontId="0" fillId="0" borderId="0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1">
    <cellStyle name="Normale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23</xdr:row>
      <xdr:rowOff>19050</xdr:rowOff>
    </xdr:from>
    <xdr:to>
      <xdr:col>7</xdr:col>
      <xdr:colOff>85724</xdr:colOff>
      <xdr:row>24</xdr:row>
      <xdr:rowOff>171450</xdr:rowOff>
    </xdr:to>
    <xdr:sp macro="[0]!Calcola_bc" textlink="">
      <xdr:nvSpPr>
        <xdr:cNvPr id="4" name="Telaio 3"/>
        <xdr:cNvSpPr/>
      </xdr:nvSpPr>
      <xdr:spPr>
        <a:xfrm>
          <a:off x="4086224" y="4438650"/>
          <a:ext cx="714375" cy="3429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/>
            <a:t>Calcola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/>
  <dimension ref="B1:J171"/>
  <sheetViews>
    <sheetView tabSelected="1" workbookViewId="0">
      <selection activeCell="I13" sqref="I13"/>
    </sheetView>
  </sheetViews>
  <sheetFormatPr defaultRowHeight="15"/>
  <cols>
    <col min="2" max="2" width="13.85546875" style="1" customWidth="1"/>
    <col min="3" max="3" width="9.140625" style="2"/>
    <col min="4" max="4" width="11.140625" customWidth="1"/>
  </cols>
  <sheetData>
    <row r="1" spans="2:5" ht="15.75" thickBot="1"/>
    <row r="2" spans="2:5">
      <c r="B2" s="11"/>
      <c r="C2" s="12" t="s">
        <v>17</v>
      </c>
      <c r="D2" s="13"/>
      <c r="E2" s="14"/>
    </row>
    <row r="3" spans="2:5">
      <c r="B3" s="15"/>
      <c r="C3" s="16" t="s">
        <v>7</v>
      </c>
      <c r="D3" s="17">
        <v>-204.4</v>
      </c>
      <c r="E3" s="18"/>
    </row>
    <row r="4" spans="2:5">
      <c r="B4" s="15"/>
      <c r="C4" s="16" t="s">
        <v>0</v>
      </c>
      <c r="D4" s="17">
        <v>1.57</v>
      </c>
      <c r="E4" s="18" t="s">
        <v>3</v>
      </c>
    </row>
    <row r="5" spans="2:5">
      <c r="B5" s="15"/>
      <c r="C5" s="16" t="s">
        <v>1</v>
      </c>
      <c r="D5" s="17">
        <v>7.8E-2</v>
      </c>
      <c r="E5" s="18" t="s">
        <v>4</v>
      </c>
    </row>
    <row r="6" spans="2:5">
      <c r="B6" s="15"/>
      <c r="C6" s="16" t="s">
        <v>8</v>
      </c>
      <c r="D6" s="17">
        <v>4.7780000000000001E-3</v>
      </c>
      <c r="E6" s="18" t="s">
        <v>9</v>
      </c>
    </row>
    <row r="7" spans="2:5">
      <c r="B7" s="15"/>
      <c r="C7" s="16" t="s">
        <v>2</v>
      </c>
      <c r="D7" s="17">
        <v>30</v>
      </c>
      <c r="E7" s="18" t="s">
        <v>5</v>
      </c>
    </row>
    <row r="8" spans="2:5">
      <c r="B8" s="15"/>
      <c r="C8" s="16" t="s">
        <v>11</v>
      </c>
      <c r="D8" s="17">
        <v>340</v>
      </c>
      <c r="E8" s="18" t="s">
        <v>5</v>
      </c>
    </row>
    <row r="9" spans="2:5">
      <c r="B9" s="15"/>
      <c r="C9" s="16" t="s">
        <v>14</v>
      </c>
      <c r="D9" s="17">
        <v>6.28</v>
      </c>
      <c r="E9" s="18"/>
    </row>
    <row r="10" spans="2:5">
      <c r="B10" s="15"/>
      <c r="C10" s="16" t="s">
        <v>18</v>
      </c>
      <c r="D10" s="17">
        <v>0.14000000000000001</v>
      </c>
      <c r="E10" s="18" t="s">
        <v>19</v>
      </c>
    </row>
    <row r="11" spans="2:5">
      <c r="B11" s="15"/>
      <c r="C11" s="16" t="s">
        <v>22</v>
      </c>
      <c r="D11" s="17">
        <v>4.4999999999999998E-2</v>
      </c>
      <c r="E11" s="18" t="s">
        <v>4</v>
      </c>
    </row>
    <row r="12" spans="2:5" ht="15.75" thickBot="1">
      <c r="B12" s="19"/>
      <c r="C12" s="20" t="s">
        <v>15</v>
      </c>
      <c r="D12" s="21">
        <v>0.5</v>
      </c>
      <c r="E12" s="22"/>
    </row>
    <row r="13" spans="2:5" ht="15.75" thickBot="1">
      <c r="B13"/>
      <c r="C13" s="1"/>
      <c r="D13" s="2"/>
    </row>
    <row r="14" spans="2:5">
      <c r="B14" s="11"/>
      <c r="C14" s="12" t="s">
        <v>16</v>
      </c>
      <c r="D14" s="13"/>
      <c r="E14" s="14"/>
    </row>
    <row r="15" spans="2:5">
      <c r="B15" s="15"/>
      <c r="C15" s="16" t="s">
        <v>10</v>
      </c>
      <c r="D15" s="23">
        <f>V/a</f>
        <v>8.8235294117647065E-2</v>
      </c>
      <c r="E15" s="18"/>
    </row>
    <row r="16" spans="2:5">
      <c r="B16" s="15"/>
      <c r="C16" s="16" t="s">
        <v>12</v>
      </c>
      <c r="D16" s="23">
        <f>SQRT(1-M^2)</f>
        <v>0.99609966011035878</v>
      </c>
      <c r="E16" s="18"/>
    </row>
    <row r="17" spans="2:10">
      <c r="B17" s="15"/>
      <c r="C17" s="16" t="s">
        <v>13</v>
      </c>
      <c r="D17" s="23">
        <f>D9/(6.28*beta)</f>
        <v>1.0039156121077373</v>
      </c>
      <c r="E17" s="18"/>
    </row>
    <row r="18" spans="2:10" ht="15.75" thickBot="1">
      <c r="B18" s="19"/>
      <c r="C18" s="20" t="s">
        <v>23</v>
      </c>
      <c r="D18" s="24">
        <f>Clp/beta*p*D/(2*V)</f>
        <v>-0.41881391662535078</v>
      </c>
      <c r="E18" s="22"/>
    </row>
    <row r="19" spans="2:10">
      <c r="B19"/>
      <c r="C19" s="1"/>
      <c r="D19" s="2"/>
    </row>
    <row r="20" spans="2:10">
      <c r="B20"/>
      <c r="C20" s="1"/>
      <c r="D20" s="2"/>
      <c r="G20" s="2"/>
      <c r="I20" s="4"/>
      <c r="J20" s="7"/>
    </row>
    <row r="21" spans="2:10">
      <c r="C21" s="1" t="s">
        <v>24</v>
      </c>
      <c r="D21" s="3">
        <v>6.4172570848526567E-2</v>
      </c>
      <c r="E21" t="s">
        <v>4</v>
      </c>
      <c r="F21" s="9"/>
      <c r="G21" s="2" t="s">
        <v>6</v>
      </c>
      <c r="H21" s="4"/>
      <c r="I21" s="5"/>
      <c r="J21" s="5"/>
    </row>
    <row r="22" spans="2:10">
      <c r="C22" s="1"/>
      <c r="F22" s="5"/>
      <c r="G22" s="2">
        <f>8*PI()*D21^2/(S*D)*(D21/3*((1+2*lambda)/(1+lambda))+D/2)*1/(2+SQRT(16*D21^2*beta^2/(Cr^2*(1+lambda)^2*k^2)+4))*alfa_max</f>
        <v>0.41866239401952005</v>
      </c>
      <c r="H22" s="5"/>
      <c r="I22" s="5"/>
      <c r="J22" s="5"/>
    </row>
    <row r="23" spans="2:10">
      <c r="C23" s="1" t="s">
        <v>25</v>
      </c>
      <c r="F23" s="5"/>
      <c r="G23" s="9"/>
      <c r="H23" s="5"/>
      <c r="I23" s="5"/>
      <c r="J23" s="5"/>
    </row>
    <row r="24" spans="2:10">
      <c r="C24" s="1" t="s">
        <v>21</v>
      </c>
      <c r="D24" s="6">
        <f>4*bc/(Cr*(1+lambda))</f>
        <v>3.8028190132460185</v>
      </c>
      <c r="H24" s="5"/>
      <c r="I24" s="10"/>
      <c r="J24" s="10"/>
    </row>
    <row r="25" spans="2:10">
      <c r="C25" s="1" t="s">
        <v>20</v>
      </c>
      <c r="D25" s="2">
        <f>Cr*lambda</f>
        <v>2.2499999999999999E-2</v>
      </c>
      <c r="E25" t="s">
        <v>4</v>
      </c>
      <c r="H25" s="10"/>
      <c r="I25" s="4"/>
      <c r="J25" s="4"/>
    </row>
    <row r="26" spans="2:10">
      <c r="C26" s="1" t="s">
        <v>26</v>
      </c>
      <c r="D26" s="25">
        <f>2*bc^2/AR</f>
        <v>2.1658242661377718E-3</v>
      </c>
      <c r="E26" t="s">
        <v>9</v>
      </c>
      <c r="H26" s="4"/>
      <c r="I26" s="4"/>
      <c r="J26" s="7"/>
    </row>
    <row r="27" spans="2:10">
      <c r="B27"/>
      <c r="H27" s="4"/>
      <c r="I27" s="4"/>
      <c r="J27" s="7"/>
    </row>
    <row r="28" spans="2:10">
      <c r="B28"/>
      <c r="H28" s="4"/>
      <c r="I28" s="4"/>
      <c r="J28" s="7"/>
    </row>
    <row r="29" spans="2:10">
      <c r="B29"/>
      <c r="H29" s="4"/>
      <c r="I29" s="4"/>
      <c r="J29" s="7"/>
    </row>
    <row r="30" spans="2:10">
      <c r="B30"/>
      <c r="H30" s="4"/>
      <c r="I30" s="4"/>
      <c r="J30" s="7"/>
    </row>
    <row r="31" spans="2:10">
      <c r="B31"/>
      <c r="C31" s="8"/>
      <c r="D31" s="9"/>
      <c r="E31" s="4"/>
      <c r="F31" s="9"/>
      <c r="G31" s="4"/>
      <c r="H31" s="4"/>
      <c r="I31" s="4"/>
      <c r="J31" s="7"/>
    </row>
    <row r="32" spans="2:10">
      <c r="B32"/>
      <c r="C32" s="8"/>
      <c r="D32" s="9"/>
      <c r="E32" s="4"/>
      <c r="F32" s="9"/>
      <c r="G32" s="4"/>
      <c r="H32" s="4"/>
      <c r="I32" s="4"/>
      <c r="J32" s="7"/>
    </row>
    <row r="33" spans="2:10">
      <c r="B33" s="8"/>
      <c r="C33" s="9"/>
      <c r="D33" s="4"/>
      <c r="E33" s="9"/>
      <c r="F33" s="4"/>
      <c r="G33" s="4"/>
      <c r="H33" s="5"/>
      <c r="I33" s="4"/>
      <c r="J33" s="7"/>
    </row>
    <row r="34" spans="2:10">
      <c r="B34" s="8"/>
      <c r="C34" s="9"/>
      <c r="D34" s="4"/>
      <c r="E34" s="9"/>
      <c r="F34" s="4"/>
      <c r="G34" s="4"/>
      <c r="H34" s="5"/>
      <c r="I34" s="4"/>
      <c r="J34" s="7"/>
    </row>
    <row r="35" spans="2:10">
      <c r="B35" s="8"/>
      <c r="C35" s="9"/>
      <c r="D35" s="4"/>
      <c r="E35" s="9"/>
      <c r="F35" s="4"/>
      <c r="G35" s="4"/>
      <c r="H35" s="5"/>
      <c r="I35" s="4"/>
      <c r="J35" s="7"/>
    </row>
    <row r="36" spans="2:10">
      <c r="B36" s="8"/>
      <c r="C36" s="9"/>
      <c r="D36" s="4"/>
      <c r="E36" s="9"/>
      <c r="F36" s="4"/>
      <c r="G36" s="4"/>
      <c r="H36" s="5"/>
      <c r="I36" s="4"/>
      <c r="J36" s="7"/>
    </row>
    <row r="37" spans="2:10">
      <c r="B37" s="8"/>
      <c r="C37" s="9"/>
      <c r="D37" s="4"/>
      <c r="E37" s="9"/>
      <c r="F37" s="4"/>
      <c r="G37" s="4"/>
      <c r="H37" s="5"/>
      <c r="I37" s="4"/>
      <c r="J37" s="7"/>
    </row>
    <row r="38" spans="2:10">
      <c r="B38" s="8"/>
      <c r="C38" s="9"/>
      <c r="D38" s="4"/>
      <c r="E38" s="9"/>
      <c r="F38" s="4"/>
      <c r="G38" s="4"/>
      <c r="H38" s="5"/>
      <c r="I38" s="4"/>
      <c r="J38" s="7"/>
    </row>
    <row r="39" spans="2:10">
      <c r="B39" s="8"/>
      <c r="C39" s="9"/>
      <c r="D39" s="4"/>
      <c r="E39" s="9"/>
      <c r="F39" s="4"/>
      <c r="G39" s="4"/>
      <c r="H39" s="5"/>
      <c r="I39" s="4"/>
      <c r="J39" s="7"/>
    </row>
    <row r="40" spans="2:10">
      <c r="B40" s="8"/>
      <c r="C40" s="9"/>
      <c r="D40" s="4"/>
      <c r="E40" s="9"/>
      <c r="F40" s="4"/>
      <c r="G40" s="4"/>
      <c r="H40" s="5"/>
      <c r="I40" s="4"/>
      <c r="J40" s="7"/>
    </row>
    <row r="41" spans="2:10">
      <c r="B41" s="8"/>
      <c r="C41" s="9"/>
      <c r="D41" s="4"/>
      <c r="E41" s="9"/>
      <c r="F41" s="4"/>
      <c r="G41" s="4"/>
      <c r="H41" s="5"/>
      <c r="I41" s="4"/>
      <c r="J41" s="7"/>
    </row>
    <row r="42" spans="2:10">
      <c r="B42" s="8"/>
      <c r="C42" s="9"/>
      <c r="D42" s="4"/>
      <c r="E42" s="9"/>
      <c r="F42" s="4"/>
      <c r="G42" s="4"/>
      <c r="H42" s="5"/>
      <c r="I42" s="4"/>
      <c r="J42" s="7"/>
    </row>
    <row r="43" spans="2:10">
      <c r="B43" s="8"/>
      <c r="C43" s="9"/>
      <c r="D43" s="4"/>
      <c r="E43" s="9"/>
      <c r="F43" s="4"/>
      <c r="G43" s="4"/>
      <c r="H43" s="5"/>
      <c r="I43" s="4"/>
      <c r="J43" s="7"/>
    </row>
    <row r="44" spans="2:10">
      <c r="B44" s="8"/>
      <c r="C44" s="9"/>
      <c r="D44" s="4"/>
      <c r="E44" s="9"/>
      <c r="F44" s="4"/>
      <c r="G44" s="4"/>
      <c r="H44" s="5"/>
      <c r="I44" s="4"/>
      <c r="J44" s="7"/>
    </row>
    <row r="45" spans="2:10">
      <c r="B45" s="8"/>
      <c r="C45" s="10"/>
      <c r="D45" s="10"/>
      <c r="E45" s="10"/>
      <c r="F45" s="10"/>
      <c r="G45" s="10"/>
      <c r="H45" s="10"/>
      <c r="I45" s="10"/>
      <c r="J45" s="10"/>
    </row>
    <row r="46" spans="2:10">
      <c r="B46" s="8"/>
      <c r="C46" s="9"/>
      <c r="D46" s="4"/>
      <c r="E46" s="5"/>
      <c r="F46" s="4"/>
      <c r="G46" s="4"/>
      <c r="H46" s="5"/>
      <c r="I46" s="4"/>
      <c r="J46" s="4"/>
    </row>
    <row r="47" spans="2:10">
      <c r="B47" s="8"/>
      <c r="C47" s="9"/>
      <c r="D47" s="4"/>
      <c r="E47" s="9"/>
      <c r="F47" s="4"/>
      <c r="G47" s="4"/>
      <c r="H47" s="5"/>
      <c r="I47" s="4"/>
      <c r="J47" s="7"/>
    </row>
    <row r="48" spans="2:10">
      <c r="B48" s="8"/>
      <c r="C48" s="9"/>
      <c r="D48" s="4"/>
      <c r="E48" s="9"/>
      <c r="F48" s="4"/>
      <c r="G48" s="4"/>
      <c r="H48" s="5"/>
      <c r="I48" s="4"/>
      <c r="J48" s="7"/>
    </row>
    <row r="49" spans="2:10">
      <c r="B49" s="8"/>
      <c r="C49" s="9"/>
      <c r="D49" s="4"/>
      <c r="E49" s="9"/>
      <c r="F49" s="4"/>
      <c r="G49" s="4"/>
      <c r="H49" s="5"/>
      <c r="I49" s="4"/>
      <c r="J49" s="7"/>
    </row>
    <row r="50" spans="2:10">
      <c r="B50" s="8"/>
      <c r="C50" s="9"/>
      <c r="D50" s="4"/>
      <c r="E50" s="9"/>
      <c r="F50" s="4"/>
      <c r="G50" s="4"/>
      <c r="H50" s="5"/>
      <c r="I50" s="4"/>
      <c r="J50" s="7"/>
    </row>
    <row r="51" spans="2:10">
      <c r="B51" s="8"/>
      <c r="C51" s="9"/>
      <c r="D51" s="4"/>
      <c r="E51" s="9"/>
      <c r="F51" s="4"/>
      <c r="G51" s="4"/>
      <c r="H51" s="5"/>
      <c r="I51" s="4"/>
      <c r="J51" s="7"/>
    </row>
    <row r="52" spans="2:10">
      <c r="B52" s="8"/>
      <c r="C52" s="9"/>
      <c r="D52" s="4"/>
      <c r="E52" s="9"/>
      <c r="F52" s="4"/>
      <c r="G52" s="4"/>
      <c r="H52" s="5"/>
      <c r="I52" s="4"/>
      <c r="J52" s="7"/>
    </row>
    <row r="53" spans="2:10">
      <c r="B53" s="8"/>
      <c r="C53" s="9"/>
      <c r="D53" s="4"/>
      <c r="E53" s="9"/>
      <c r="F53" s="4"/>
      <c r="G53" s="4"/>
      <c r="H53" s="5"/>
      <c r="I53" s="4"/>
      <c r="J53" s="7"/>
    </row>
    <row r="54" spans="2:10">
      <c r="B54" s="8"/>
      <c r="C54" s="9"/>
      <c r="D54" s="4"/>
      <c r="E54" s="9"/>
      <c r="F54" s="4"/>
      <c r="G54" s="4"/>
      <c r="H54" s="5"/>
      <c r="I54" s="4"/>
      <c r="J54" s="7"/>
    </row>
    <row r="55" spans="2:10">
      <c r="B55" s="8"/>
      <c r="C55" s="9"/>
      <c r="D55" s="4"/>
      <c r="E55" s="9"/>
      <c r="F55" s="4"/>
      <c r="G55" s="4"/>
      <c r="H55" s="5"/>
      <c r="I55" s="4"/>
      <c r="J55" s="7"/>
    </row>
    <row r="56" spans="2:10">
      <c r="B56" s="8"/>
      <c r="C56" s="9"/>
      <c r="D56" s="4"/>
      <c r="E56" s="9"/>
      <c r="F56" s="4"/>
      <c r="G56" s="4"/>
      <c r="H56" s="5"/>
      <c r="I56" s="4"/>
      <c r="J56" s="7"/>
    </row>
    <row r="57" spans="2:10">
      <c r="B57" s="8"/>
      <c r="C57" s="9"/>
      <c r="D57" s="4"/>
      <c r="E57" s="9"/>
      <c r="F57" s="4"/>
      <c r="G57" s="4"/>
      <c r="H57" s="5"/>
      <c r="I57" s="4"/>
      <c r="J57" s="7"/>
    </row>
    <row r="58" spans="2:10">
      <c r="B58" s="8"/>
      <c r="C58" s="9"/>
      <c r="D58" s="4"/>
      <c r="E58" s="9"/>
      <c r="F58" s="4"/>
      <c r="G58" s="4"/>
      <c r="H58" s="5"/>
      <c r="I58" s="4"/>
      <c r="J58" s="7"/>
    </row>
    <row r="59" spans="2:10">
      <c r="B59" s="8"/>
      <c r="C59" s="9"/>
      <c r="D59" s="4"/>
      <c r="E59" s="9"/>
      <c r="F59" s="4"/>
      <c r="G59" s="4"/>
      <c r="H59" s="5"/>
      <c r="I59" s="4"/>
      <c r="J59" s="7"/>
    </row>
    <row r="60" spans="2:10">
      <c r="B60" s="8"/>
      <c r="C60" s="9"/>
      <c r="D60" s="4"/>
      <c r="E60" s="9"/>
      <c r="F60" s="4"/>
      <c r="G60" s="4"/>
      <c r="H60" s="5"/>
      <c r="I60" s="4"/>
      <c r="J60" s="7"/>
    </row>
    <row r="61" spans="2:10">
      <c r="B61" s="8"/>
      <c r="C61" s="9"/>
      <c r="D61" s="4"/>
      <c r="E61" s="9"/>
      <c r="F61" s="4"/>
      <c r="G61" s="4"/>
      <c r="H61" s="5"/>
      <c r="I61" s="4"/>
      <c r="J61" s="7"/>
    </row>
    <row r="62" spans="2:10">
      <c r="B62" s="8"/>
      <c r="C62" s="9"/>
      <c r="D62" s="4"/>
      <c r="E62" s="9"/>
      <c r="F62" s="4"/>
      <c r="G62" s="4"/>
      <c r="H62" s="5"/>
      <c r="I62" s="4"/>
      <c r="J62" s="7"/>
    </row>
    <row r="63" spans="2:10">
      <c r="B63" s="8"/>
      <c r="C63" s="9"/>
      <c r="D63" s="4"/>
      <c r="E63" s="9"/>
      <c r="F63" s="4"/>
      <c r="G63" s="4"/>
      <c r="H63" s="5"/>
      <c r="I63" s="4"/>
      <c r="J63" s="7"/>
    </row>
    <row r="64" spans="2:10">
      <c r="B64" s="8"/>
      <c r="C64" s="9"/>
      <c r="D64" s="4"/>
      <c r="E64" s="4"/>
      <c r="F64" s="4"/>
      <c r="G64" s="4"/>
      <c r="H64" s="4"/>
      <c r="I64" s="9"/>
      <c r="J64" s="5"/>
    </row>
    <row r="65" spans="2:10">
      <c r="B65" s="8"/>
      <c r="C65" s="9"/>
      <c r="D65" s="4"/>
      <c r="E65" s="4"/>
      <c r="F65" s="4"/>
      <c r="G65" s="4"/>
      <c r="H65" s="4"/>
      <c r="I65" s="9"/>
      <c r="J65" s="5"/>
    </row>
    <row r="66" spans="2:10">
      <c r="B66" s="8"/>
      <c r="C66" s="10"/>
      <c r="D66" s="10"/>
      <c r="E66" s="10"/>
      <c r="F66" s="10"/>
      <c r="G66" s="10"/>
      <c r="H66" s="10"/>
      <c r="I66" s="10"/>
      <c r="J66" s="10"/>
    </row>
    <row r="67" spans="2:10">
      <c r="B67" s="8"/>
      <c r="C67" s="9"/>
      <c r="D67" s="4"/>
      <c r="E67" s="5"/>
      <c r="F67" s="4"/>
      <c r="G67" s="4"/>
      <c r="H67" s="5"/>
      <c r="I67" s="4"/>
      <c r="J67" s="4"/>
    </row>
    <row r="68" spans="2:10">
      <c r="B68" s="8"/>
      <c r="C68" s="9"/>
      <c r="D68" s="4"/>
      <c r="E68" s="9"/>
      <c r="F68" s="4"/>
      <c r="G68" s="4"/>
      <c r="H68" s="5"/>
      <c r="I68" s="4"/>
      <c r="J68" s="7"/>
    </row>
    <row r="69" spans="2:10">
      <c r="B69" s="8"/>
      <c r="C69" s="9"/>
      <c r="D69" s="4"/>
      <c r="E69" s="9"/>
      <c r="F69" s="4"/>
      <c r="G69" s="4"/>
      <c r="H69" s="5"/>
      <c r="I69" s="4"/>
      <c r="J69" s="7"/>
    </row>
    <row r="70" spans="2:10">
      <c r="B70" s="8"/>
      <c r="C70" s="9"/>
      <c r="D70" s="4"/>
      <c r="E70" s="9"/>
      <c r="F70" s="4"/>
      <c r="G70" s="4"/>
      <c r="H70" s="5"/>
      <c r="I70" s="4"/>
      <c r="J70" s="7"/>
    </row>
    <row r="71" spans="2:10">
      <c r="B71" s="8"/>
      <c r="C71" s="9"/>
      <c r="D71" s="4"/>
      <c r="E71" s="9"/>
      <c r="F71" s="4"/>
      <c r="G71" s="4"/>
      <c r="H71" s="5"/>
      <c r="I71" s="4"/>
      <c r="J71" s="7"/>
    </row>
    <row r="72" spans="2:10">
      <c r="B72" s="8"/>
      <c r="C72" s="9"/>
      <c r="D72" s="4"/>
      <c r="E72" s="9"/>
      <c r="F72" s="4"/>
      <c r="G72" s="4"/>
      <c r="H72" s="5"/>
      <c r="I72" s="4"/>
      <c r="J72" s="7"/>
    </row>
    <row r="73" spans="2:10">
      <c r="B73" s="8"/>
      <c r="C73" s="9"/>
      <c r="D73" s="4"/>
      <c r="E73" s="9"/>
      <c r="F73" s="4"/>
      <c r="G73" s="4"/>
      <c r="H73" s="5"/>
      <c r="I73" s="4"/>
      <c r="J73" s="7"/>
    </row>
    <row r="74" spans="2:10">
      <c r="B74" s="8"/>
      <c r="C74" s="9"/>
      <c r="D74" s="4"/>
      <c r="E74" s="9"/>
      <c r="F74" s="4"/>
      <c r="G74" s="4"/>
      <c r="H74" s="5"/>
      <c r="I74" s="4"/>
      <c r="J74" s="7"/>
    </row>
    <row r="75" spans="2:10">
      <c r="B75" s="8"/>
      <c r="C75" s="9"/>
      <c r="D75" s="4"/>
      <c r="E75" s="9"/>
      <c r="F75" s="4"/>
      <c r="G75" s="4"/>
      <c r="H75" s="5"/>
      <c r="I75" s="4"/>
      <c r="J75" s="7"/>
    </row>
    <row r="76" spans="2:10">
      <c r="B76" s="8"/>
      <c r="C76" s="9"/>
      <c r="D76" s="4"/>
      <c r="E76" s="9"/>
      <c r="F76" s="4"/>
      <c r="G76" s="4"/>
      <c r="H76" s="5"/>
      <c r="I76" s="4"/>
      <c r="J76" s="7"/>
    </row>
    <row r="77" spans="2:10">
      <c r="B77" s="8"/>
      <c r="C77" s="9"/>
      <c r="D77" s="4"/>
      <c r="E77" s="9"/>
      <c r="F77" s="4"/>
      <c r="G77" s="4"/>
      <c r="H77" s="5"/>
      <c r="I77" s="4"/>
      <c r="J77" s="7"/>
    </row>
    <row r="78" spans="2:10">
      <c r="B78" s="8"/>
      <c r="C78" s="9"/>
      <c r="D78" s="4"/>
      <c r="E78" s="9"/>
      <c r="F78" s="4"/>
      <c r="G78" s="4"/>
      <c r="H78" s="5"/>
      <c r="I78" s="4"/>
      <c r="J78" s="7"/>
    </row>
    <row r="79" spans="2:10">
      <c r="B79" s="8"/>
      <c r="C79" s="9"/>
      <c r="D79" s="4"/>
      <c r="E79" s="9"/>
      <c r="F79" s="4"/>
      <c r="G79" s="4"/>
      <c r="H79" s="5"/>
      <c r="I79" s="4"/>
      <c r="J79" s="7"/>
    </row>
    <row r="80" spans="2:10">
      <c r="B80" s="8"/>
      <c r="C80" s="9"/>
      <c r="D80" s="4"/>
      <c r="E80" s="9"/>
      <c r="F80" s="4"/>
      <c r="G80" s="4"/>
      <c r="H80" s="5"/>
      <c r="I80" s="4"/>
      <c r="J80" s="7"/>
    </row>
    <row r="81" spans="2:10">
      <c r="B81" s="8"/>
      <c r="C81" s="9"/>
      <c r="D81" s="4"/>
      <c r="E81" s="9"/>
      <c r="F81" s="4"/>
      <c r="G81" s="4"/>
      <c r="H81" s="5"/>
      <c r="I81" s="4"/>
      <c r="J81" s="7"/>
    </row>
    <row r="82" spans="2:10">
      <c r="B82" s="8"/>
      <c r="C82" s="9"/>
      <c r="D82" s="4"/>
      <c r="E82" s="9"/>
      <c r="F82" s="4"/>
      <c r="G82" s="4"/>
      <c r="H82" s="5"/>
      <c r="I82" s="4"/>
      <c r="J82" s="7"/>
    </row>
    <row r="83" spans="2:10">
      <c r="B83" s="8"/>
      <c r="C83" s="9"/>
      <c r="D83" s="4"/>
      <c r="E83" s="9"/>
      <c r="F83" s="4"/>
      <c r="G83" s="4"/>
      <c r="H83" s="5"/>
      <c r="I83" s="4"/>
      <c r="J83" s="7"/>
    </row>
    <row r="84" spans="2:10">
      <c r="B84" s="8"/>
      <c r="C84" s="9"/>
      <c r="D84" s="4"/>
      <c r="E84" s="9"/>
      <c r="F84" s="4"/>
      <c r="G84" s="4"/>
      <c r="H84" s="5"/>
      <c r="I84" s="4"/>
      <c r="J84" s="7"/>
    </row>
    <row r="85" spans="2:10">
      <c r="B85" s="8"/>
      <c r="C85" s="9"/>
      <c r="D85" s="4"/>
      <c r="E85" s="4"/>
      <c r="F85" s="4"/>
      <c r="G85" s="4"/>
      <c r="H85" s="4"/>
      <c r="I85" s="9"/>
      <c r="J85" s="5"/>
    </row>
    <row r="86" spans="2:10">
      <c r="B86" s="8"/>
      <c r="C86" s="9"/>
      <c r="D86" s="4"/>
      <c r="E86" s="4"/>
      <c r="F86" s="4"/>
      <c r="G86" s="4"/>
      <c r="H86" s="4"/>
      <c r="I86" s="9"/>
      <c r="J86" s="5"/>
    </row>
    <row r="87" spans="2:10">
      <c r="B87" s="8"/>
      <c r="C87" s="10"/>
      <c r="D87" s="10"/>
      <c r="E87" s="10"/>
      <c r="F87" s="10"/>
      <c r="G87" s="10"/>
      <c r="H87" s="10"/>
      <c r="I87" s="10"/>
      <c r="J87" s="10"/>
    </row>
    <row r="88" spans="2:10">
      <c r="B88" s="8"/>
      <c r="C88" s="9"/>
      <c r="D88" s="4"/>
      <c r="E88" s="5"/>
      <c r="F88" s="4"/>
      <c r="G88" s="4"/>
      <c r="H88" s="5"/>
      <c r="I88" s="4"/>
      <c r="J88" s="4"/>
    </row>
    <row r="89" spans="2:10">
      <c r="B89" s="8"/>
      <c r="C89" s="9"/>
      <c r="D89" s="4"/>
      <c r="E89" s="9"/>
      <c r="F89" s="4"/>
      <c r="G89" s="4"/>
      <c r="H89" s="5"/>
      <c r="I89" s="4"/>
      <c r="J89" s="7"/>
    </row>
    <row r="90" spans="2:10">
      <c r="B90" s="8"/>
      <c r="C90" s="9"/>
      <c r="D90" s="4"/>
      <c r="E90" s="9"/>
      <c r="F90" s="4"/>
      <c r="G90" s="4"/>
      <c r="H90" s="5"/>
      <c r="I90" s="4"/>
      <c r="J90" s="7"/>
    </row>
    <row r="91" spans="2:10">
      <c r="B91" s="8"/>
      <c r="C91" s="9"/>
      <c r="D91" s="4"/>
      <c r="E91" s="9"/>
      <c r="F91" s="4"/>
      <c r="G91" s="4"/>
      <c r="H91" s="5"/>
      <c r="I91" s="4"/>
      <c r="J91" s="7"/>
    </row>
    <row r="92" spans="2:10">
      <c r="B92" s="8"/>
      <c r="C92" s="9"/>
      <c r="D92" s="4"/>
      <c r="E92" s="9"/>
      <c r="F92" s="4"/>
      <c r="G92" s="4"/>
      <c r="H92" s="5"/>
      <c r="I92" s="4"/>
      <c r="J92" s="7"/>
    </row>
    <row r="93" spans="2:10">
      <c r="B93" s="8"/>
      <c r="C93" s="9"/>
      <c r="D93" s="4"/>
      <c r="E93" s="9"/>
      <c r="F93" s="4"/>
      <c r="G93" s="4"/>
      <c r="H93" s="5"/>
      <c r="I93" s="4"/>
      <c r="J93" s="7"/>
    </row>
    <row r="94" spans="2:10">
      <c r="B94" s="8"/>
      <c r="C94" s="9"/>
      <c r="D94" s="4"/>
      <c r="E94" s="9"/>
      <c r="F94" s="4"/>
      <c r="G94" s="4"/>
      <c r="H94" s="5"/>
      <c r="I94" s="4"/>
      <c r="J94" s="7"/>
    </row>
    <row r="95" spans="2:10">
      <c r="B95" s="8"/>
      <c r="C95" s="9"/>
      <c r="D95" s="4"/>
      <c r="E95" s="9"/>
      <c r="F95" s="4"/>
      <c r="G95" s="4"/>
      <c r="H95" s="5"/>
      <c r="I95" s="4"/>
      <c r="J95" s="7"/>
    </row>
    <row r="96" spans="2:10">
      <c r="B96" s="8"/>
      <c r="C96" s="9"/>
      <c r="D96" s="4"/>
      <c r="E96" s="9"/>
      <c r="F96" s="4"/>
      <c r="G96" s="4"/>
      <c r="H96" s="5"/>
      <c r="I96" s="4"/>
      <c r="J96" s="7"/>
    </row>
    <row r="97" spans="2:10">
      <c r="B97" s="8"/>
      <c r="C97" s="9"/>
      <c r="D97" s="4"/>
      <c r="E97" s="9"/>
      <c r="F97" s="4"/>
      <c r="G97" s="4"/>
      <c r="H97" s="5"/>
      <c r="I97" s="4"/>
      <c r="J97" s="7"/>
    </row>
    <row r="98" spans="2:10">
      <c r="B98" s="8"/>
      <c r="C98" s="9"/>
      <c r="D98" s="4"/>
      <c r="E98" s="9"/>
      <c r="F98" s="4"/>
      <c r="G98" s="4"/>
      <c r="H98" s="5"/>
      <c r="I98" s="4"/>
      <c r="J98" s="7"/>
    </row>
    <row r="99" spans="2:10">
      <c r="B99" s="8"/>
      <c r="C99" s="9"/>
      <c r="D99" s="4"/>
      <c r="E99" s="9"/>
      <c r="F99" s="4"/>
      <c r="G99" s="4"/>
      <c r="H99" s="5"/>
      <c r="I99" s="4"/>
      <c r="J99" s="7"/>
    </row>
    <row r="100" spans="2:10">
      <c r="B100" s="8"/>
      <c r="C100" s="9"/>
      <c r="D100" s="4"/>
      <c r="E100" s="9"/>
      <c r="F100" s="4"/>
      <c r="G100" s="4"/>
      <c r="H100" s="5"/>
      <c r="I100" s="4"/>
      <c r="J100" s="7"/>
    </row>
    <row r="101" spans="2:10">
      <c r="B101" s="8"/>
      <c r="C101" s="9"/>
      <c r="D101" s="4"/>
      <c r="E101" s="9"/>
      <c r="F101" s="4"/>
      <c r="G101" s="4"/>
      <c r="H101" s="5"/>
      <c r="I101" s="4"/>
      <c r="J101" s="7"/>
    </row>
    <row r="102" spans="2:10">
      <c r="B102" s="8"/>
      <c r="C102" s="9"/>
      <c r="D102" s="4"/>
      <c r="E102" s="9"/>
      <c r="F102" s="4"/>
      <c r="G102" s="4"/>
      <c r="H102" s="5"/>
      <c r="I102" s="4"/>
      <c r="J102" s="7"/>
    </row>
    <row r="103" spans="2:10">
      <c r="B103" s="8"/>
      <c r="C103" s="9"/>
      <c r="D103" s="4"/>
      <c r="E103" s="9"/>
      <c r="F103" s="4"/>
      <c r="G103" s="4"/>
      <c r="H103" s="5"/>
      <c r="I103" s="4"/>
      <c r="J103" s="7"/>
    </row>
    <row r="104" spans="2:10">
      <c r="B104" s="8"/>
      <c r="C104" s="9"/>
      <c r="D104" s="4"/>
      <c r="E104" s="9"/>
      <c r="F104" s="4"/>
      <c r="G104" s="4"/>
      <c r="H104" s="5"/>
      <c r="I104" s="4"/>
      <c r="J104" s="7"/>
    </row>
    <row r="105" spans="2:10">
      <c r="B105" s="8"/>
      <c r="C105" s="9"/>
      <c r="D105" s="4"/>
      <c r="E105" s="9"/>
      <c r="F105" s="4"/>
      <c r="G105" s="4"/>
      <c r="H105" s="5"/>
      <c r="I105" s="4"/>
      <c r="J105" s="7"/>
    </row>
    <row r="106" spans="2:10">
      <c r="B106" s="8"/>
      <c r="C106" s="9"/>
      <c r="D106" s="4"/>
      <c r="E106" s="4"/>
      <c r="F106" s="4"/>
      <c r="G106" s="4"/>
      <c r="H106" s="4"/>
      <c r="I106" s="9"/>
      <c r="J106" s="5"/>
    </row>
    <row r="107" spans="2:10">
      <c r="B107" s="8"/>
      <c r="C107" s="9"/>
      <c r="D107" s="4"/>
      <c r="E107" s="4"/>
      <c r="F107" s="4"/>
      <c r="G107" s="4"/>
      <c r="H107" s="4"/>
      <c r="I107" s="9"/>
      <c r="J107" s="5"/>
    </row>
    <row r="108" spans="2:10">
      <c r="B108" s="8"/>
      <c r="C108" s="10"/>
      <c r="D108" s="10"/>
      <c r="E108" s="10"/>
      <c r="F108" s="10"/>
      <c r="G108" s="10"/>
      <c r="H108" s="10"/>
      <c r="I108" s="10"/>
      <c r="J108" s="10"/>
    </row>
    <row r="109" spans="2:10">
      <c r="B109" s="8"/>
      <c r="C109" s="9"/>
      <c r="D109" s="4"/>
      <c r="E109" s="5"/>
      <c r="F109" s="4"/>
      <c r="G109" s="4"/>
      <c r="H109" s="5"/>
      <c r="I109" s="4"/>
      <c r="J109" s="4"/>
    </row>
    <row r="110" spans="2:10">
      <c r="B110" s="8"/>
      <c r="C110" s="9"/>
      <c r="D110" s="4"/>
      <c r="E110" s="9"/>
      <c r="F110" s="4"/>
      <c r="G110" s="4"/>
      <c r="H110" s="5"/>
      <c r="I110" s="4"/>
      <c r="J110" s="7"/>
    </row>
    <row r="111" spans="2:10">
      <c r="B111" s="8"/>
      <c r="C111" s="9"/>
      <c r="D111" s="4"/>
      <c r="E111" s="9"/>
      <c r="F111" s="4"/>
      <c r="G111" s="4"/>
      <c r="H111" s="5"/>
      <c r="I111" s="4"/>
      <c r="J111" s="7"/>
    </row>
    <row r="112" spans="2:10">
      <c r="B112" s="8"/>
      <c r="C112" s="9"/>
      <c r="D112" s="4"/>
      <c r="E112" s="9"/>
      <c r="F112" s="4"/>
      <c r="G112" s="4"/>
      <c r="H112" s="5"/>
      <c r="I112" s="4"/>
      <c r="J112" s="7"/>
    </row>
    <row r="113" spans="2:10">
      <c r="B113" s="8"/>
      <c r="C113" s="9"/>
      <c r="D113" s="4"/>
      <c r="E113" s="9"/>
      <c r="F113" s="4"/>
      <c r="G113" s="4"/>
      <c r="H113" s="5"/>
      <c r="I113" s="4"/>
      <c r="J113" s="7"/>
    </row>
    <row r="114" spans="2:10">
      <c r="B114" s="8"/>
      <c r="C114" s="9"/>
      <c r="D114" s="4"/>
      <c r="E114" s="9"/>
      <c r="F114" s="4"/>
      <c r="G114" s="4"/>
      <c r="H114" s="5"/>
      <c r="I114" s="4"/>
      <c r="J114" s="7"/>
    </row>
    <row r="115" spans="2:10">
      <c r="B115" s="8"/>
      <c r="C115" s="9"/>
      <c r="D115" s="4"/>
      <c r="E115" s="9"/>
      <c r="F115" s="4"/>
      <c r="G115" s="4"/>
      <c r="H115" s="5"/>
      <c r="I115" s="4"/>
      <c r="J115" s="7"/>
    </row>
    <row r="116" spans="2:10">
      <c r="B116" s="8"/>
      <c r="C116" s="9"/>
      <c r="D116" s="4"/>
      <c r="E116" s="9"/>
      <c r="F116" s="4"/>
      <c r="G116" s="4"/>
      <c r="H116" s="5"/>
      <c r="I116" s="4"/>
      <c r="J116" s="7"/>
    </row>
    <row r="117" spans="2:10">
      <c r="B117" s="8"/>
      <c r="C117" s="9"/>
      <c r="D117" s="4"/>
      <c r="E117" s="9"/>
      <c r="F117" s="4"/>
      <c r="G117" s="4"/>
      <c r="H117" s="5"/>
      <c r="I117" s="4"/>
      <c r="J117" s="7"/>
    </row>
    <row r="118" spans="2:10">
      <c r="B118" s="8"/>
      <c r="C118" s="9"/>
      <c r="D118" s="4"/>
      <c r="E118" s="9"/>
      <c r="F118" s="4"/>
      <c r="G118" s="4"/>
      <c r="H118" s="5"/>
      <c r="I118" s="4"/>
      <c r="J118" s="7"/>
    </row>
    <row r="119" spans="2:10">
      <c r="B119" s="8"/>
      <c r="C119" s="9"/>
      <c r="D119" s="4"/>
      <c r="E119" s="9"/>
      <c r="F119" s="4"/>
      <c r="G119" s="4"/>
      <c r="H119" s="5"/>
      <c r="I119" s="4"/>
      <c r="J119" s="7"/>
    </row>
    <row r="120" spans="2:10">
      <c r="B120" s="8"/>
      <c r="C120" s="9"/>
      <c r="D120" s="4"/>
      <c r="E120" s="9"/>
      <c r="F120" s="4"/>
      <c r="G120" s="4"/>
      <c r="H120" s="5"/>
      <c r="I120" s="4"/>
      <c r="J120" s="7"/>
    </row>
    <row r="121" spans="2:10">
      <c r="B121" s="8"/>
      <c r="C121" s="9"/>
      <c r="D121" s="4"/>
      <c r="E121" s="9"/>
      <c r="F121" s="4"/>
      <c r="G121" s="4"/>
      <c r="H121" s="5"/>
      <c r="I121" s="4"/>
      <c r="J121" s="7"/>
    </row>
    <row r="122" spans="2:10">
      <c r="B122" s="8"/>
      <c r="C122" s="9"/>
      <c r="D122" s="4"/>
      <c r="E122" s="9"/>
      <c r="F122" s="4"/>
      <c r="G122" s="4"/>
      <c r="H122" s="5"/>
      <c r="I122" s="4"/>
      <c r="J122" s="7"/>
    </row>
    <row r="123" spans="2:10">
      <c r="B123" s="8"/>
      <c r="C123" s="9"/>
      <c r="D123" s="4"/>
      <c r="E123" s="9"/>
      <c r="F123" s="4"/>
      <c r="G123" s="4"/>
      <c r="H123" s="5"/>
      <c r="I123" s="4"/>
      <c r="J123" s="7"/>
    </row>
    <row r="124" spans="2:10">
      <c r="B124" s="8"/>
      <c r="C124" s="9"/>
      <c r="D124" s="4"/>
      <c r="E124" s="9"/>
      <c r="F124" s="4"/>
      <c r="G124" s="4"/>
      <c r="H124" s="5"/>
      <c r="I124" s="4"/>
      <c r="J124" s="7"/>
    </row>
    <row r="125" spans="2:10">
      <c r="B125" s="8"/>
      <c r="C125" s="9"/>
      <c r="D125" s="4"/>
      <c r="E125" s="9"/>
      <c r="F125" s="4"/>
      <c r="G125" s="4"/>
      <c r="H125" s="5"/>
      <c r="I125" s="4"/>
      <c r="J125" s="7"/>
    </row>
    <row r="126" spans="2:10">
      <c r="B126" s="8"/>
      <c r="C126" s="9"/>
      <c r="D126" s="4"/>
      <c r="E126" s="9"/>
      <c r="F126" s="4"/>
      <c r="G126" s="4"/>
      <c r="H126" s="5"/>
      <c r="I126" s="4"/>
      <c r="J126" s="7"/>
    </row>
    <row r="127" spans="2:10">
      <c r="B127" s="8"/>
      <c r="C127" s="9"/>
      <c r="D127" s="4"/>
      <c r="E127" s="4"/>
      <c r="F127" s="4"/>
      <c r="G127" s="4"/>
      <c r="H127" s="4"/>
      <c r="I127" s="9"/>
      <c r="J127" s="5"/>
    </row>
    <row r="128" spans="2:10">
      <c r="B128" s="8"/>
      <c r="C128" s="9"/>
      <c r="D128" s="4"/>
      <c r="E128" s="4"/>
      <c r="F128" s="4"/>
      <c r="G128" s="4"/>
      <c r="H128" s="4"/>
      <c r="I128" s="9"/>
      <c r="J128" s="5"/>
    </row>
    <row r="129" spans="4:9">
      <c r="D129" s="3"/>
      <c r="E129" s="3"/>
      <c r="F129" s="3"/>
      <c r="G129" s="3"/>
      <c r="H129" s="3"/>
      <c r="I129" s="2"/>
    </row>
    <row r="130" spans="4:9">
      <c r="D130" s="3"/>
      <c r="E130" s="3"/>
      <c r="F130" s="3"/>
      <c r="G130" s="3"/>
      <c r="H130" s="3"/>
      <c r="I130" s="2"/>
    </row>
    <row r="131" spans="4:9">
      <c r="D131" s="3"/>
      <c r="E131" s="3"/>
      <c r="F131" s="3"/>
      <c r="G131" s="3"/>
      <c r="H131" s="3"/>
      <c r="I131" s="2"/>
    </row>
    <row r="132" spans="4:9">
      <c r="D132" s="3"/>
      <c r="E132" s="3"/>
      <c r="F132" s="3"/>
      <c r="G132" s="3"/>
      <c r="H132" s="3"/>
      <c r="I132" s="2"/>
    </row>
    <row r="133" spans="4:9">
      <c r="D133" s="3"/>
      <c r="E133" s="3"/>
      <c r="F133" s="3"/>
      <c r="G133" s="3"/>
      <c r="H133" s="3"/>
      <c r="I133" s="2"/>
    </row>
    <row r="134" spans="4:9">
      <c r="D134" s="3"/>
      <c r="E134" s="3"/>
      <c r="F134" s="3"/>
      <c r="G134" s="3"/>
      <c r="H134" s="3"/>
      <c r="I134" s="2"/>
    </row>
    <row r="135" spans="4:9">
      <c r="D135" s="3"/>
      <c r="E135" s="3"/>
      <c r="F135" s="3"/>
      <c r="G135" s="3"/>
      <c r="H135" s="3"/>
      <c r="I135" s="2"/>
    </row>
    <row r="136" spans="4:9">
      <c r="D136" s="3"/>
      <c r="E136" s="3"/>
      <c r="F136" s="3"/>
      <c r="G136" s="3"/>
      <c r="H136" s="3"/>
      <c r="I136" s="2"/>
    </row>
    <row r="137" spans="4:9">
      <c r="D137" s="3"/>
      <c r="E137" s="3"/>
      <c r="F137" s="3"/>
      <c r="G137" s="3"/>
      <c r="H137" s="3"/>
      <c r="I137" s="2"/>
    </row>
    <row r="138" spans="4:9">
      <c r="D138" s="3"/>
      <c r="E138" s="3"/>
      <c r="F138" s="3"/>
      <c r="G138" s="3"/>
      <c r="H138" s="3"/>
      <c r="I138" s="2"/>
    </row>
    <row r="139" spans="4:9">
      <c r="D139" s="3"/>
      <c r="E139" s="3"/>
      <c r="F139" s="3"/>
      <c r="G139" s="3"/>
      <c r="H139" s="3"/>
      <c r="I139" s="2"/>
    </row>
    <row r="140" spans="4:9">
      <c r="D140" s="3"/>
      <c r="E140" s="3"/>
      <c r="F140" s="3"/>
      <c r="G140" s="3"/>
      <c r="H140" s="3"/>
      <c r="I140" s="2"/>
    </row>
    <row r="141" spans="4:9">
      <c r="D141" s="3"/>
      <c r="E141" s="3"/>
      <c r="F141" s="3"/>
      <c r="G141" s="3"/>
      <c r="H141" s="3"/>
      <c r="I141" s="2"/>
    </row>
    <row r="142" spans="4:9">
      <c r="D142" s="3"/>
      <c r="E142" s="3"/>
      <c r="F142" s="3"/>
      <c r="G142" s="3"/>
      <c r="H142" s="3"/>
      <c r="I142" s="2"/>
    </row>
    <row r="143" spans="4:9">
      <c r="D143" s="3"/>
      <c r="E143" s="3"/>
      <c r="F143" s="3"/>
      <c r="G143" s="3"/>
      <c r="H143" s="3"/>
      <c r="I143" s="2"/>
    </row>
    <row r="144" spans="4:9">
      <c r="D144" s="3"/>
      <c r="E144" s="3"/>
      <c r="F144" s="3"/>
      <c r="G144" s="3"/>
      <c r="H144" s="3"/>
      <c r="I144" s="2"/>
    </row>
    <row r="145" spans="4:9">
      <c r="D145" s="3"/>
      <c r="E145" s="3"/>
      <c r="F145" s="3"/>
      <c r="G145" s="3"/>
      <c r="H145" s="3"/>
      <c r="I145" s="2"/>
    </row>
    <row r="146" spans="4:9">
      <c r="D146" s="3"/>
      <c r="E146" s="3"/>
      <c r="F146" s="3"/>
      <c r="G146" s="3"/>
      <c r="H146" s="3"/>
      <c r="I146" s="2"/>
    </row>
    <row r="147" spans="4:9">
      <c r="D147" s="3"/>
      <c r="E147" s="3"/>
      <c r="F147" s="3"/>
      <c r="G147" s="3"/>
      <c r="H147" s="3"/>
      <c r="I147" s="2"/>
    </row>
    <row r="148" spans="4:9">
      <c r="D148" s="3"/>
      <c r="E148" s="3"/>
      <c r="F148" s="3"/>
      <c r="G148" s="3"/>
      <c r="H148" s="3"/>
      <c r="I148" s="2"/>
    </row>
    <row r="149" spans="4:9">
      <c r="D149" s="3"/>
      <c r="E149" s="3"/>
      <c r="F149" s="3"/>
      <c r="G149" s="3"/>
      <c r="H149" s="3"/>
      <c r="I149" s="2"/>
    </row>
    <row r="150" spans="4:9">
      <c r="D150" s="3"/>
      <c r="E150" s="3"/>
      <c r="F150" s="3"/>
      <c r="G150" s="3"/>
      <c r="H150" s="3"/>
      <c r="I150" s="2"/>
    </row>
    <row r="151" spans="4:9">
      <c r="D151" s="3"/>
      <c r="E151" s="3"/>
      <c r="F151" s="3"/>
      <c r="G151" s="3"/>
      <c r="H151" s="3"/>
      <c r="I151" s="2"/>
    </row>
    <row r="152" spans="4:9">
      <c r="D152" s="3"/>
      <c r="E152" s="3"/>
      <c r="F152" s="3"/>
      <c r="G152" s="3"/>
      <c r="H152" s="3"/>
      <c r="I152" s="2"/>
    </row>
    <row r="153" spans="4:9">
      <c r="D153" s="3"/>
      <c r="E153" s="3"/>
      <c r="F153" s="3"/>
      <c r="G153" s="3"/>
      <c r="H153" s="3"/>
      <c r="I153" s="2"/>
    </row>
    <row r="154" spans="4:9">
      <c r="D154" s="3"/>
      <c r="E154" s="3"/>
      <c r="F154" s="3"/>
      <c r="G154" s="3"/>
      <c r="H154" s="3"/>
      <c r="I154" s="2"/>
    </row>
    <row r="155" spans="4:9">
      <c r="D155" s="3"/>
      <c r="E155" s="3"/>
      <c r="F155" s="3"/>
      <c r="G155" s="3"/>
      <c r="H155" s="3"/>
      <c r="I155" s="2"/>
    </row>
    <row r="156" spans="4:9">
      <c r="D156" s="3"/>
      <c r="E156" s="3"/>
      <c r="F156" s="3"/>
      <c r="G156" s="3"/>
      <c r="H156" s="3"/>
      <c r="I156" s="2"/>
    </row>
    <row r="157" spans="4:9">
      <c r="D157" s="3"/>
      <c r="E157" s="3"/>
      <c r="F157" s="3"/>
      <c r="G157" s="3"/>
      <c r="H157" s="3"/>
      <c r="I157" s="2"/>
    </row>
    <row r="158" spans="4:9">
      <c r="D158" s="3"/>
      <c r="E158" s="3"/>
      <c r="F158" s="3"/>
      <c r="G158" s="3"/>
      <c r="H158" s="3"/>
      <c r="I158" s="2"/>
    </row>
    <row r="159" spans="4:9">
      <c r="D159" s="3"/>
      <c r="E159" s="3"/>
      <c r="F159" s="3"/>
      <c r="G159" s="3"/>
      <c r="H159" s="3"/>
      <c r="I159" s="2"/>
    </row>
    <row r="160" spans="4:9">
      <c r="D160" s="3"/>
      <c r="E160" s="3"/>
      <c r="F160" s="3"/>
      <c r="G160" s="3"/>
      <c r="H160" s="3"/>
      <c r="I160" s="2"/>
    </row>
    <row r="161" spans="4:9">
      <c r="D161" s="3"/>
      <c r="E161" s="3"/>
      <c r="F161" s="3"/>
      <c r="G161" s="3"/>
      <c r="H161" s="3"/>
      <c r="I161" s="2"/>
    </row>
    <row r="162" spans="4:9">
      <c r="D162" s="3"/>
      <c r="E162" s="3"/>
      <c r="F162" s="3"/>
      <c r="G162" s="3"/>
      <c r="H162" s="3"/>
      <c r="I162" s="2"/>
    </row>
    <row r="163" spans="4:9">
      <c r="D163" s="3"/>
      <c r="E163" s="3"/>
      <c r="F163" s="3"/>
      <c r="G163" s="3"/>
      <c r="H163" s="3"/>
      <c r="I163" s="2"/>
    </row>
    <row r="164" spans="4:9">
      <c r="D164" s="3"/>
      <c r="E164" s="3"/>
      <c r="F164" s="3"/>
      <c r="G164" s="3"/>
      <c r="H164" s="3"/>
      <c r="I164" s="2"/>
    </row>
    <row r="165" spans="4:9">
      <c r="D165" s="3"/>
      <c r="E165" s="3"/>
      <c r="F165" s="3"/>
      <c r="G165" s="3"/>
      <c r="H165" s="3"/>
      <c r="I165" s="2"/>
    </row>
    <row r="166" spans="4:9">
      <c r="D166" s="3"/>
      <c r="E166" s="3"/>
      <c r="F166" s="3"/>
      <c r="G166" s="3"/>
      <c r="H166" s="3"/>
      <c r="I166" s="2"/>
    </row>
    <row r="167" spans="4:9">
      <c r="D167" s="3"/>
      <c r="E167" s="3"/>
      <c r="F167" s="3"/>
      <c r="G167" s="3"/>
      <c r="H167" s="3"/>
      <c r="I167" s="2"/>
    </row>
    <row r="168" spans="4:9">
      <c r="D168" s="3"/>
      <c r="E168" s="3"/>
      <c r="F168" s="3"/>
      <c r="G168" s="3"/>
      <c r="H168" s="3"/>
      <c r="I168" s="2"/>
    </row>
    <row r="169" spans="4:9">
      <c r="D169" s="3"/>
      <c r="E169" s="3"/>
      <c r="F169" s="3"/>
      <c r="G169" s="3"/>
      <c r="H169" s="3"/>
      <c r="I169" s="2"/>
    </row>
    <row r="170" spans="4:9">
      <c r="D170" s="3"/>
      <c r="E170" s="3"/>
      <c r="F170" s="3"/>
      <c r="G170" s="3"/>
      <c r="H170" s="3"/>
      <c r="I170" s="2"/>
    </row>
    <row r="171" spans="4:9">
      <c r="D171" s="3"/>
      <c r="E171" s="3"/>
      <c r="F171" s="3"/>
      <c r="G171" s="3"/>
      <c r="H171" s="3"/>
      <c r="I171" s="2"/>
    </row>
  </sheetData>
  <pageMargins left="0.7" right="0.7" top="0.75" bottom="0.75" header="0.3" footer="0.3"/>
  <pageSetup paperSize="0" orientation="portrait" horizontalDpi="0" verticalDpi="0" copie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"/>
  <dimension ref="A1"/>
  <sheetViews>
    <sheetView workbookViewId="0"/>
  </sheetViews>
  <sheetFormatPr defaultRowHeight="15"/>
  <sheetData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"/>
  <sheetViews>
    <sheetView workbookViewId="0"/>
  </sheetViews>
  <sheetFormatPr defaultRowHeight="15"/>
  <sheetData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14</vt:i4>
      </vt:variant>
    </vt:vector>
  </HeadingPairs>
  <TitlesOfParts>
    <vt:vector size="17" baseType="lpstr">
      <vt:lpstr>Foglio1</vt:lpstr>
      <vt:lpstr>Foglio2</vt:lpstr>
      <vt:lpstr>Foglio3</vt:lpstr>
      <vt:lpstr>a</vt:lpstr>
      <vt:lpstr>alfa_max</vt:lpstr>
      <vt:lpstr>AR</vt:lpstr>
      <vt:lpstr>bc</vt:lpstr>
      <vt:lpstr>beta</vt:lpstr>
      <vt:lpstr>Clp</vt:lpstr>
      <vt:lpstr>Cr</vt:lpstr>
      <vt:lpstr>D</vt:lpstr>
      <vt:lpstr>k</vt:lpstr>
      <vt:lpstr>lambda</vt:lpstr>
      <vt:lpstr>M</vt:lpstr>
      <vt:lpstr>p</vt:lpstr>
      <vt:lpstr>S</vt:lpstr>
      <vt:lpstr>V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2006-09-25T09:17:32Z</dcterms:created>
  <dcterms:modified xsi:type="dcterms:W3CDTF">2012-01-19T18:56:08Z</dcterms:modified>
</cp:coreProperties>
</file>